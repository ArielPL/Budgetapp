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3f69d796442e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Årsbudget 2026" sheetId="1" r:id="R029c5e9ad9a94919"/>
  </sheets>
</workbook>
</file>

<file path=xl/sharedStrings.xml><?xml version="1.0" encoding="utf-8"?>
<sst xmlns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–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11827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94A3B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0" fontId="6" fillId="4" borderId="1" xfId="0" applyNumberFormat="1" applyFont="1" applyFill="1" applyBorder="1"/>
    <x:xf numFmtId="200" fontId="6" fillId="4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139c575de412e" /><Relationship Type="http://schemas.openxmlformats.org/officeDocument/2006/relationships/theme" Target="/xl/theme/theme1.xml" Id="R3c9b4f64ea8745c0" /><Relationship Type="http://schemas.openxmlformats.org/officeDocument/2006/relationships/sharedStrings" Target="/xl/sharedStrings.xml" Id="R82f17a997a9142d8" /><Relationship Type="http://schemas.openxmlformats.org/officeDocument/2006/relationships/worksheet" Target="/xl/worksheets/sheet1.xml" Id="R029c5e9ad9a9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C3AED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9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6" hidden="0" customWidth="1"/>
  </cols>
  <sheetData>
    <row r="1">
      <c r="A1" s="2" t="str">
        <v>Barnfamiljen – många rörliga delar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tr">
        <v>Syntetisk testbudget · SEK · 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5" t="str">
        <v>Post</v>
      </c>
      <c r="B4" s="6" t="str">
        <v>Januari 2026</v>
      </c>
      <c r="C4" s="6" t="str">
        <v>Februari 2026</v>
      </c>
      <c r="D4" s="6" t="str">
        <v>Mars 2026</v>
      </c>
      <c r="E4" s="6" t="str">
        <v>April 2026</v>
      </c>
      <c r="F4" s="6" t="str">
        <v>Maj 2026</v>
      </c>
      <c r="G4" s="6" t="str">
        <v>Juni 2026</v>
      </c>
      <c r="H4" s="6" t="str">
        <v>Juli 2026</v>
      </c>
      <c r="I4" s="6" t="str">
        <v>Augusti 2026</v>
      </c>
      <c r="J4" s="6" t="str">
        <v>September 2026</v>
      </c>
      <c r="K4" s="6" t="str">
        <v>Oktober 2026</v>
      </c>
      <c r="L4" s="6" t="str">
        <v>November 2026</v>
      </c>
      <c r="M4" s="6" t="str">
        <v>December 2026</v>
      </c>
      <c r="N4" s="6" t="str">
        <v>Helår</v>
      </c>
    </row>
    <row r="5">
      <c r="A5" s="11" t="str">
        <v>Inkomster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>
      <c r="A6" s="1" t="str">
        <v>Lön Alex</v>
      </c>
      <c r="B6" s="8" t="n">
        <v>38200</v>
      </c>
      <c r="C6" s="8" t="n">
        <v>38200</v>
      </c>
      <c r="D6" s="8" t="n">
        <v>38200</v>
      </c>
      <c r="E6" s="8" t="n">
        <v>38200</v>
      </c>
      <c r="F6" s="8" t="n">
        <v>38200</v>
      </c>
      <c r="G6" s="8" t="n">
        <v>38200</v>
      </c>
      <c r="H6" s="8" t="n">
        <v>38200</v>
      </c>
      <c r="I6" s="8" t="n">
        <v>38200</v>
      </c>
      <c r="J6" s="8" t="n">
        <v>38200</v>
      </c>
      <c r="K6" s="8" t="n">
        <v>38200</v>
      </c>
      <c r="L6" s="8" t="n">
        <v>38200</v>
      </c>
      <c r="M6" s="8" t="n">
        <v>38200</v>
      </c>
      <c r="N6" s="8" t="n">
        <f>SUM(B6:M6)</f>
        <v>458400</v>
      </c>
    </row>
    <row r="7">
      <c r="A7" s="1" t="str">
        <v>Lön Sam</v>
      </c>
      <c r="B7" s="8" t="n">
        <v>33400</v>
      </c>
      <c r="C7" s="8" t="n">
        <v>33400</v>
      </c>
      <c r="D7" s="8" t="n">
        <v>33400</v>
      </c>
      <c r="E7" s="8" t="n">
        <v>33400</v>
      </c>
      <c r="F7" s="8" t="n">
        <v>33400</v>
      </c>
      <c r="G7" s="8" t="n">
        <v>33400</v>
      </c>
      <c r="H7" s="8" t="n">
        <v>33400</v>
      </c>
      <c r="I7" s="8" t="n">
        <v>33400</v>
      </c>
      <c r="J7" s="8" t="n">
        <v>33400</v>
      </c>
      <c r="K7" s="8" t="n">
        <v>33400</v>
      </c>
      <c r="L7" s="8" t="n">
        <v>33400</v>
      </c>
      <c r="M7" s="8" t="n">
        <v>33400</v>
      </c>
      <c r="N7" s="8" t="n">
        <f>SUM(B7:M7)</f>
        <v>400800</v>
      </c>
    </row>
    <row r="8">
      <c r="A8" s="1" t="str">
        <v>Barnbidrag</v>
      </c>
      <c r="B8" s="8" t="n">
        <v>3750</v>
      </c>
      <c r="C8" s="8" t="n">
        <v>3750</v>
      </c>
      <c r="D8" s="8" t="n">
        <v>3750</v>
      </c>
      <c r="E8" s="8" t="n">
        <v>3750</v>
      </c>
      <c r="F8" s="8" t="n">
        <v>3750</v>
      </c>
      <c r="G8" s="8" t="n">
        <v>3750</v>
      </c>
      <c r="H8" s="8" t="n">
        <v>3750</v>
      </c>
      <c r="I8" s="8" t="n">
        <v>3750</v>
      </c>
      <c r="J8" s="8" t="n">
        <v>3750</v>
      </c>
      <c r="K8" s="8" t="n">
        <v>3750</v>
      </c>
      <c r="L8" s="8" t="n">
        <v>3750</v>
      </c>
      <c r="M8" s="8" t="n">
        <v>3750</v>
      </c>
      <c r="N8" s="8" t="n">
        <f>SUM(B8:M8)</f>
        <v>45000</v>
      </c>
    </row>
    <row r="9">
      <c r="A9" s="1" t="str">
        <v>Bonus</v>
      </c>
      <c r="B9" s="8" t="str"/>
      <c r="C9" s="8" t="str"/>
      <c r="D9" s="8" t="str"/>
      <c r="E9" s="8" t="str"/>
      <c r="F9" s="8" t="str"/>
      <c r="G9" s="8" t="n">
        <v>12000</v>
      </c>
      <c r="H9" s="8" t="str"/>
      <c r="I9" s="8" t="str"/>
      <c r="J9" s="8" t="str"/>
      <c r="K9" s="8" t="str"/>
      <c r="L9" s="8" t="str"/>
      <c r="M9" s="8" t="n">
        <v>8500</v>
      </c>
      <c r="N9" s="8" t="n">
        <f>SUM(B9:M9)</f>
        <v>20500</v>
      </c>
    </row>
    <row r="10">
      <c r="A10" s="11" t="str">
        <v>Boende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>
      <c r="A11" s="1" t="str">
        <v>Bolån</v>
      </c>
      <c r="B11" s="8" t="n">
        <v>18700</v>
      </c>
      <c r="C11" s="8" t="n">
        <v>18700</v>
      </c>
      <c r="D11" s="8" t="n">
        <v>18700</v>
      </c>
      <c r="E11" s="8" t="n">
        <v>18700</v>
      </c>
      <c r="F11" s="8" t="n">
        <v>18700</v>
      </c>
      <c r="G11" s="8" t="n">
        <v>18700</v>
      </c>
      <c r="H11" s="8" t="n">
        <v>18700</v>
      </c>
      <c r="I11" s="8" t="n">
        <v>18700</v>
      </c>
      <c r="J11" s="8" t="n">
        <v>18700</v>
      </c>
      <c r="K11" s="8" t="n">
        <v>18700</v>
      </c>
      <c r="L11" s="8" t="n">
        <v>18700</v>
      </c>
      <c r="M11" s="8" t="n">
        <v>18700</v>
      </c>
      <c r="N11" s="8" t="n">
        <f>SUM(B11:M11)</f>
        <v>224400</v>
      </c>
    </row>
    <row r="12">
      <c r="A12" s="1" t="str">
        <v>El och värme</v>
      </c>
      <c r="B12" s="8" t="n">
        <v>3100</v>
      </c>
      <c r="C12" s="8" t="n">
        <v>2980</v>
      </c>
      <c r="D12" s="8" t="n">
        <v>2750</v>
      </c>
      <c r="E12" s="8" t="n">
        <v>2450</v>
      </c>
      <c r="F12" s="8" t="n">
        <v>2050</v>
      </c>
      <c r="G12" s="8" t="n">
        <v>1750</v>
      </c>
      <c r="H12" s="8" t="n">
        <v>1600</v>
      </c>
      <c r="I12" s="8" t="n">
        <v>1760</v>
      </c>
      <c r="J12" s="8" t="n">
        <v>2150</v>
      </c>
      <c r="K12" s="8" t="n">
        <v>2570</v>
      </c>
      <c r="L12" s="8" t="n">
        <v>2900</v>
      </c>
      <c r="M12" s="8" t="n">
        <v>3200</v>
      </c>
      <c r="N12" s="8" t="n">
        <f>SUM(B12:M12)</f>
        <v>29260</v>
      </c>
    </row>
    <row r="13">
      <c r="A13" s="1" t="str">
        <v>Vatten</v>
      </c>
      <c r="B13" s="8" t="n">
        <v>780</v>
      </c>
      <c r="C13" s="8" t="n">
        <v>780</v>
      </c>
      <c r="D13" s="8" t="n">
        <v>780</v>
      </c>
      <c r="E13" s="8" t="n">
        <v>780</v>
      </c>
      <c r="F13" s="8" t="n">
        <v>780</v>
      </c>
      <c r="G13" s="8" t="n">
        <v>780</v>
      </c>
      <c r="H13" s="8" t="n">
        <v>780</v>
      </c>
      <c r="I13" s="8" t="n">
        <v>780</v>
      </c>
      <c r="J13" s="8" t="n">
        <v>780</v>
      </c>
      <c r="K13" s="8" t="n">
        <v>780</v>
      </c>
      <c r="L13" s="8" t="n">
        <v>780</v>
      </c>
      <c r="M13" s="8" t="n">
        <v>780</v>
      </c>
      <c r="N13" s="8" t="n">
        <f>SUM(B13:M13)</f>
        <v>9360</v>
      </c>
    </row>
    <row r="14">
      <c r="A14" s="1" t="str">
        <v>Hemförsäkring</v>
      </c>
      <c r="B14" s="8" t="n">
        <v>510</v>
      </c>
      <c r="C14" s="8" t="n">
        <v>510</v>
      </c>
      <c r="D14" s="8" t="n">
        <v>510</v>
      </c>
      <c r="E14" s="8" t="n">
        <v>510</v>
      </c>
      <c r="F14" s="8" t="n">
        <v>510</v>
      </c>
      <c r="G14" s="8" t="n">
        <v>510</v>
      </c>
      <c r="H14" s="8" t="n">
        <v>510</v>
      </c>
      <c r="I14" s="8" t="n">
        <v>510</v>
      </c>
      <c r="J14" s="8" t="n">
        <v>510</v>
      </c>
      <c r="K14" s="8" t="n">
        <v>510</v>
      </c>
      <c r="L14" s="8" t="n">
        <v>510</v>
      </c>
      <c r="M14" s="8" t="n">
        <v>510</v>
      </c>
      <c r="N14" s="8" t="n">
        <f>SUM(B14:M14)</f>
        <v>6120</v>
      </c>
    </row>
    <row r="15">
      <c r="A15" s="11" t="str">
        <v>Mat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>
      <c r="A16" s="1" t="str">
        <v>Matvaror</v>
      </c>
      <c r="B16" s="8" t="n">
        <v>10650</v>
      </c>
      <c r="C16" s="8" t="n">
        <v>10400</v>
      </c>
      <c r="D16" s="8" t="n">
        <v>10750</v>
      </c>
      <c r="E16" s="8" t="n">
        <v>10600</v>
      </c>
      <c r="F16" s="8" t="n">
        <v>10400</v>
      </c>
      <c r="G16" s="8" t="n">
        <v>11000</v>
      </c>
      <c r="H16" s="8" t="n">
        <v>11400</v>
      </c>
      <c r="I16" s="8" t="n">
        <v>10900</v>
      </c>
      <c r="J16" s="8" t="n">
        <v>10550</v>
      </c>
      <c r="K16" s="8" t="n">
        <v>10650</v>
      </c>
      <c r="L16" s="8" t="n">
        <v>10850</v>
      </c>
      <c r="M16" s="8" t="n">
        <v>11700</v>
      </c>
      <c r="N16" s="8" t="n">
        <f>SUM(B16:M16)</f>
        <v>129850</v>
      </c>
    </row>
    <row r="17">
      <c r="A17" s="1" t="str">
        <v>Restaurang</v>
      </c>
      <c r="B17" s="8" t="n">
        <v>1550</v>
      </c>
      <c r="C17" s="8" t="n">
        <v>1700</v>
      </c>
      <c r="D17" s="8" t="n">
        <v>1550</v>
      </c>
      <c r="E17" s="8" t="n">
        <v>1950</v>
      </c>
      <c r="F17" s="8" t="n">
        <v>1550</v>
      </c>
      <c r="G17" s="8" t="n">
        <v>2050</v>
      </c>
      <c r="H17" s="8" t="n">
        <v>2400</v>
      </c>
      <c r="I17" s="8" t="n">
        <v>2250</v>
      </c>
      <c r="J17" s="8" t="n">
        <v>1550</v>
      </c>
      <c r="K17" s="8" t="n">
        <v>1750</v>
      </c>
      <c r="L17" s="8" t="n">
        <v>1850</v>
      </c>
      <c r="M17" s="8" t="n">
        <v>2450</v>
      </c>
      <c r="N17" s="8" t="n">
        <f>SUM(B17:M17)</f>
        <v>22600</v>
      </c>
    </row>
    <row r="18">
      <c r="A18" s="11" t="str">
        <v>Transport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1" t="str">
        <v>Bensin</v>
      </c>
      <c r="B19" s="8" t="n">
        <v>2700</v>
      </c>
      <c r="C19" s="8" t="n">
        <v>2600</v>
      </c>
      <c r="D19" s="8" t="n">
        <v>2700</v>
      </c>
      <c r="E19" s="8" t="n">
        <v>2600</v>
      </c>
      <c r="F19" s="8" t="n">
        <v>2750</v>
      </c>
      <c r="G19" s="8" t="n">
        <v>3100</v>
      </c>
      <c r="H19" s="8" t="n">
        <v>3300</v>
      </c>
      <c r="I19" s="8" t="n">
        <v>3000</v>
      </c>
      <c r="J19" s="8" t="n">
        <v>2600</v>
      </c>
      <c r="K19" s="8" t="n">
        <v>2750</v>
      </c>
      <c r="L19" s="8" t="n">
        <v>2800</v>
      </c>
      <c r="M19" s="8" t="n">
        <v>2700</v>
      </c>
      <c r="N19" s="8" t="n">
        <f>SUM(B19:M19)</f>
        <v>33600</v>
      </c>
    </row>
    <row r="20">
      <c r="A20" s="1" t="str">
        <v>Bilförsäkring</v>
      </c>
      <c r="B20" s="8" t="n">
        <v>960</v>
      </c>
      <c r="C20" s="8" t="n">
        <v>960</v>
      </c>
      <c r="D20" s="8" t="n">
        <v>960</v>
      </c>
      <c r="E20" s="8" t="n">
        <v>960</v>
      </c>
      <c r="F20" s="8" t="n">
        <v>960</v>
      </c>
      <c r="G20" s="8" t="n">
        <v>960</v>
      </c>
      <c r="H20" s="8" t="n">
        <v>960</v>
      </c>
      <c r="I20" s="8" t="n">
        <v>960</v>
      </c>
      <c r="J20" s="8" t="n">
        <v>960</v>
      </c>
      <c r="K20" s="8" t="n">
        <v>960</v>
      </c>
      <c r="L20" s="8" t="n">
        <v>960</v>
      </c>
      <c r="M20" s="8" t="n">
        <v>960</v>
      </c>
      <c r="N20" s="8" t="n">
        <f>SUM(B20:M20)</f>
        <v>11520</v>
      </c>
    </row>
    <row r="21">
      <c r="A21" s="1" t="str">
        <v>Bilservice</v>
      </c>
      <c r="B21" s="8" t="str"/>
      <c r="C21" s="8" t="str"/>
      <c r="D21" s="8" t="str"/>
      <c r="E21" s="8" t="n">
        <v>6200</v>
      </c>
      <c r="F21" s="8" t="str"/>
      <c r="G21" s="8" t="str"/>
      <c r="H21" s="8" t="str"/>
      <c r="I21" s="8" t="str"/>
      <c r="J21" s="8" t="str"/>
      <c r="K21" s="8" t="n">
        <v>3400</v>
      </c>
      <c r="L21" s="8" t="str"/>
      <c r="M21" s="8" t="str"/>
      <c r="N21" s="8" t="n">
        <f>SUM(B21:M21)</f>
        <v>9600</v>
      </c>
    </row>
    <row r="22">
      <c r="A22" s="11" t="str">
        <v>Barnen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>
      <c r="A23" s="1" t="str">
        <v>Förskola</v>
      </c>
      <c r="B23" s="8" t="n">
        <v>2900</v>
      </c>
      <c r="C23" s="8" t="n">
        <v>2900</v>
      </c>
      <c r="D23" s="8" t="n">
        <v>2900</v>
      </c>
      <c r="E23" s="8" t="n">
        <v>2900</v>
      </c>
      <c r="F23" s="8" t="n">
        <v>2900</v>
      </c>
      <c r="G23" s="8" t="n">
        <v>2900</v>
      </c>
      <c r="H23" s="8" t="n">
        <v>2900</v>
      </c>
      <c r="I23" s="8" t="n">
        <v>2900</v>
      </c>
      <c r="J23" s="8" t="n">
        <v>2900</v>
      </c>
      <c r="K23" s="8" t="n">
        <v>2900</v>
      </c>
      <c r="L23" s="8" t="n">
        <v>2900</v>
      </c>
      <c r="M23" s="8" t="n">
        <v>2900</v>
      </c>
      <c r="N23" s="8" t="n">
        <f>SUM(B23:M23)</f>
        <v>34800</v>
      </c>
    </row>
    <row r="24">
      <c r="A24" s="1" t="str">
        <v>Fritidsaktiviteter</v>
      </c>
      <c r="B24" s="8" t="n">
        <v>1450</v>
      </c>
      <c r="C24" s="8" t="n">
        <v>1450</v>
      </c>
      <c r="D24" s="8" t="n">
        <v>1450</v>
      </c>
      <c r="E24" s="8" t="n">
        <v>1450</v>
      </c>
      <c r="F24" s="8" t="n">
        <v>1450</v>
      </c>
      <c r="G24" s="8" t="str"/>
      <c r="H24" s="8" t="str"/>
      <c r="I24" s="8" t="str"/>
      <c r="J24" s="8" t="n">
        <v>1450</v>
      </c>
      <c r="K24" s="8" t="n">
        <v>1450</v>
      </c>
      <c r="L24" s="8" t="n">
        <v>1450</v>
      </c>
      <c r="M24" s="8" t="n">
        <v>1450</v>
      </c>
      <c r="N24" s="8" t="n">
        <f>SUM(B24:M24)</f>
        <v>13050</v>
      </c>
    </row>
    <row r="25">
      <c r="A25" s="1" t="str">
        <v>Sommarläger</v>
      </c>
      <c r="B25" s="8" t="str"/>
      <c r="C25" s="8" t="str"/>
      <c r="D25" s="8" t="str"/>
      <c r="E25" s="8" t="str"/>
      <c r="F25" s="8" t="str"/>
      <c r="G25" s="8" t="str"/>
      <c r="H25" s="8" t="n">
        <v>8600</v>
      </c>
      <c r="I25" s="8" t="str"/>
      <c r="J25" s="8" t="str"/>
      <c r="K25" s="8" t="str"/>
      <c r="L25" s="8" t="str"/>
      <c r="M25" s="8" t="str"/>
      <c r="N25" s="8" t="n">
        <f>SUM(B25:M25)</f>
        <v>8600</v>
      </c>
    </row>
    <row r="26">
      <c r="A26" s="11" t="str">
        <v>Prenumerationer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>
      <c r="A27" s="1" t="str">
        <v>Familjemobiler</v>
      </c>
      <c r="B27" s="8" t="n">
        <v>840</v>
      </c>
      <c r="C27" s="8" t="n">
        <v>840</v>
      </c>
      <c r="D27" s="8" t="n">
        <v>840</v>
      </c>
      <c r="E27" s="8" t="n">
        <v>840</v>
      </c>
      <c r="F27" s="8" t="n">
        <v>840</v>
      </c>
      <c r="G27" s="8" t="n">
        <v>840</v>
      </c>
      <c r="H27" s="8" t="n">
        <v>840</v>
      </c>
      <c r="I27" s="8" t="n">
        <v>840</v>
      </c>
      <c r="J27" s="8" t="n">
        <v>840</v>
      </c>
      <c r="K27" s="8" t="n">
        <v>840</v>
      </c>
      <c r="L27" s="8" t="n">
        <v>840</v>
      </c>
      <c r="M27" s="8" t="n">
        <v>840</v>
      </c>
      <c r="N27" s="8" t="n">
        <f>SUM(B27:M27)</f>
        <v>10080</v>
      </c>
    </row>
    <row r="28">
      <c r="A28" s="1" t="str">
        <v>Streaming</v>
      </c>
      <c r="B28" s="8" t="n">
        <v>329</v>
      </c>
      <c r="C28" s="8" t="n">
        <v>329</v>
      </c>
      <c r="D28" s="8" t="n">
        <v>329</v>
      </c>
      <c r="E28" s="8" t="n">
        <v>329</v>
      </c>
      <c r="F28" s="8" t="n">
        <v>329</v>
      </c>
      <c r="G28" s="8" t="n">
        <v>329</v>
      </c>
      <c r="H28" s="8" t="n">
        <v>329</v>
      </c>
      <c r="I28" s="8" t="n">
        <v>329</v>
      </c>
      <c r="J28" s="8" t="n">
        <v>329</v>
      </c>
      <c r="K28" s="8" t="n">
        <v>329</v>
      </c>
      <c r="L28" s="8" t="n">
        <v>329</v>
      </c>
      <c r="M28" s="8" t="n">
        <v>329</v>
      </c>
      <c r="N28" s="8" t="n">
        <f>SUM(B28:M28)</f>
        <v>3948</v>
      </c>
    </row>
    <row r="29">
      <c r="A29" s="11" t="str">
        <v>Personligt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>
      <c r="A30" s="1" t="str">
        <v>Tandläkare</v>
      </c>
      <c r="B30" s="8" t="str"/>
      <c r="C30" s="8" t="n">
        <v>2500</v>
      </c>
      <c r="D30" s="8" t="str"/>
      <c r="E30" s="8" t="str"/>
      <c r="F30" s="8" t="str"/>
      <c r="G30" s="8" t="str"/>
      <c r="H30" s="8" t="str"/>
      <c r="I30" s="8" t="str"/>
      <c r="J30" s="8" t="n">
        <v>1800</v>
      </c>
      <c r="K30" s="8" t="str"/>
      <c r="L30" s="8" t="str"/>
      <c r="M30" s="8" t="str"/>
      <c r="N30" s="8" t="n">
        <f>SUM(B30:M30)</f>
        <v>4300</v>
      </c>
    </row>
    <row r="31">
      <c r="A31" s="1" t="str">
        <v>Kläder</v>
      </c>
      <c r="B31" s="8" t="n">
        <v>1400</v>
      </c>
      <c r="C31" s="8" t="n">
        <v>1600</v>
      </c>
      <c r="D31" s="8" t="n">
        <v>1700</v>
      </c>
      <c r="E31" s="8" t="n">
        <v>1500</v>
      </c>
      <c r="F31" s="8" t="n">
        <v>1400</v>
      </c>
      <c r="G31" s="8" t="n">
        <v>1900</v>
      </c>
      <c r="H31" s="8" t="n">
        <v>1700</v>
      </c>
      <c r="I31" s="8" t="n">
        <v>2100</v>
      </c>
      <c r="J31" s="8" t="n">
        <v>1800</v>
      </c>
      <c r="K31" s="8" t="n">
        <v>1600</v>
      </c>
      <c r="L31" s="8" t="n">
        <v>1700</v>
      </c>
      <c r="M31" s="8" t="n">
        <v>2400</v>
      </c>
      <c r="N31" s="8" t="n">
        <f>SUM(B31:M31)</f>
        <v>20800</v>
      </c>
    </row>
    <row r="32">
      <c r="A32" s="11" t="str">
        <v>Fritid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>
      <c r="A33" s="1" t="str">
        <v>Semester</v>
      </c>
      <c r="B33" s="8" t="str"/>
      <c r="C33" s="8" t="str"/>
      <c r="D33" s="8" t="str"/>
      <c r="E33" s="8" t="str"/>
      <c r="F33" s="8" t="str"/>
      <c r="G33" s="8" t="n">
        <v>6000</v>
      </c>
      <c r="H33" s="8" t="n">
        <v>32000</v>
      </c>
      <c r="I33" s="8" t="n">
        <v>12000</v>
      </c>
      <c r="J33" s="8" t="str"/>
      <c r="K33" s="8" t="str"/>
      <c r="L33" s="8" t="str"/>
      <c r="M33" s="8" t="str"/>
      <c r="N33" s="8" t="n">
        <f>SUM(B33:M33)</f>
        <v>50000</v>
      </c>
    </row>
    <row r="34">
      <c r="A34" s="11" t="str">
        <v>Gåvor &amp; givande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>
      <c r="A35" s="1" t="str">
        <v>Välgörenhet</v>
      </c>
      <c r="B35" s="8" t="n">
        <v>350</v>
      </c>
      <c r="C35" s="8" t="n">
        <v>350</v>
      </c>
      <c r="D35" s="8" t="n">
        <v>350</v>
      </c>
      <c r="E35" s="8" t="n">
        <v>350</v>
      </c>
      <c r="F35" s="8" t="n">
        <v>350</v>
      </c>
      <c r="G35" s="8" t="n">
        <v>350</v>
      </c>
      <c r="H35" s="8" t="n">
        <v>350</v>
      </c>
      <c r="I35" s="8" t="n">
        <v>350</v>
      </c>
      <c r="J35" s="8" t="n">
        <v>350</v>
      </c>
      <c r="K35" s="8" t="n">
        <v>350</v>
      </c>
      <c r="L35" s="8" t="n">
        <v>350</v>
      </c>
      <c r="M35" s="8" t="n">
        <v>350</v>
      </c>
      <c r="N35" s="8" t="n">
        <f>SUM(B35:M35)</f>
        <v>4200</v>
      </c>
    </row>
    <row r="36">
      <c r="A36" s="1" t="str">
        <v>Presenter</v>
      </c>
      <c r="B36" s="8" t="str"/>
      <c r="C36" s="8" t="str"/>
      <c r="D36" s="8" t="n">
        <v>1300</v>
      </c>
      <c r="E36" s="8" t="str"/>
      <c r="F36" s="8" t="str"/>
      <c r="G36" s="8" t="n">
        <v>1700</v>
      </c>
      <c r="H36" s="8" t="str"/>
      <c r="I36" s="8" t="str"/>
      <c r="J36" s="8" t="str"/>
      <c r="K36" s="8" t="str"/>
      <c r="L36" s="8" t="str"/>
      <c r="M36" s="8" t="n">
        <v>5800</v>
      </c>
      <c r="N36" s="8" t="n">
        <f>SUM(B36:M36)</f>
        <v>8800</v>
      </c>
    </row>
    <row r="37">
      <c r="A37" s="11" t="str">
        <v>Lån &amp; skulder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>
      <c r="A38" s="1" t="str">
        <v>Billån</v>
      </c>
      <c r="B38" s="8" t="n">
        <v>2650</v>
      </c>
      <c r="C38" s="8" t="n">
        <v>2650</v>
      </c>
      <c r="D38" s="8" t="n">
        <v>2650</v>
      </c>
      <c r="E38" s="8" t="n">
        <v>2650</v>
      </c>
      <c r="F38" s="8" t="n">
        <v>2650</v>
      </c>
      <c r="G38" s="8" t="n">
        <v>2650</v>
      </c>
      <c r="H38" s="8" t="n">
        <v>2650</v>
      </c>
      <c r="I38" s="8" t="n">
        <v>2650</v>
      </c>
      <c r="J38" s="8" t="n">
        <v>2650</v>
      </c>
      <c r="K38" s="8" t="n">
        <v>2650</v>
      </c>
      <c r="L38" s="8" t="n">
        <v>2650</v>
      </c>
      <c r="M38" s="8" t="n">
        <v>2650</v>
      </c>
      <c r="N38" s="8" t="n">
        <f>SUM(B38:M38)</f>
        <v>31800</v>
      </c>
    </row>
    <row r="39">
      <c r="A39" s="11" t="str">
        <v>Sparande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>
      <c r="A40" s="1" t="str">
        <v>Buffert</v>
      </c>
      <c r="B40" s="8" t="n">
        <v>3200</v>
      </c>
      <c r="C40" s="8" t="n">
        <v>3200</v>
      </c>
      <c r="D40" s="8" t="n">
        <v>3200</v>
      </c>
      <c r="E40" s="8" t="n">
        <v>3200</v>
      </c>
      <c r="F40" s="8" t="n">
        <v>3200</v>
      </c>
      <c r="G40" s="8" t="n">
        <v>3200</v>
      </c>
      <c r="H40" s="8" t="n">
        <v>3200</v>
      </c>
      <c r="I40" s="8" t="n">
        <v>3200</v>
      </c>
      <c r="J40" s="8" t="n">
        <v>3200</v>
      </c>
      <c r="K40" s="8" t="n">
        <v>3200</v>
      </c>
      <c r="L40" s="8" t="n">
        <v>3200</v>
      </c>
      <c r="M40" s="8" t="n">
        <v>3200</v>
      </c>
      <c r="N40" s="8" t="n">
        <f>SUM(B40:M40)</f>
        <v>38400</v>
      </c>
    </row>
    <row r="41">
      <c r="A41" s="1" t="str">
        <v>Resekonto</v>
      </c>
      <c r="B41" s="8" t="n">
        <v>1800</v>
      </c>
      <c r="C41" s="8" t="n">
        <v>1800</v>
      </c>
      <c r="D41" s="8" t="n">
        <v>1800</v>
      </c>
      <c r="E41" s="8" t="n">
        <v>1800</v>
      </c>
      <c r="F41" s="8" t="n">
        <v>1800</v>
      </c>
      <c r="G41" s="8" t="n">
        <v>1800</v>
      </c>
      <c r="H41" s="8" t="n">
        <v>1800</v>
      </c>
      <c r="I41" s="8" t="n">
        <v>1800</v>
      </c>
      <c r="J41" s="8" t="n">
        <v>1800</v>
      </c>
      <c r="K41" s="8" t="n">
        <v>1800</v>
      </c>
      <c r="L41" s="8" t="n">
        <v>1800</v>
      </c>
      <c r="M41" s="8" t="n">
        <v>1800</v>
      </c>
      <c r="N41" s="8" t="n">
        <f>SUM(B41:M41)</f>
        <v>21600</v>
      </c>
    </row>
    <row r="42">
      <c r="A42" s="13" t="str">
        <v>Totala inkomster</v>
      </c>
      <c r="B42" s="14" t="n">
        <f>SUM(B6,B7,B8,B9)</f>
        <v>75350</v>
      </c>
      <c r="C42" s="14" t="n">
        <f>SUM(C6,C7,C8,C9)</f>
        <v>75350</v>
      </c>
      <c r="D42" s="14" t="n">
        <f>SUM(D6,D7,D8,D9)</f>
        <v>75350</v>
      </c>
      <c r="E42" s="14" t="n">
        <f>SUM(E6,E7,E8,E9)</f>
        <v>75350</v>
      </c>
      <c r="F42" s="14" t="n">
        <f>SUM(F6,F7,F8,F9)</f>
        <v>75350</v>
      </c>
      <c r="G42" s="14" t="n">
        <f>SUM(G6,G7,G8,G9)</f>
        <v>87350</v>
      </c>
      <c r="H42" s="14" t="n">
        <f>SUM(H6,H7,H8,H9)</f>
        <v>75350</v>
      </c>
      <c r="I42" s="14" t="n">
        <f>SUM(I6,I7,I8,I9)</f>
        <v>75350</v>
      </c>
      <c r="J42" s="14" t="n">
        <f>SUM(J6,J7,J8,J9)</f>
        <v>75350</v>
      </c>
      <c r="K42" s="14" t="n">
        <f>SUM(K6,K7,K8,K9)</f>
        <v>75350</v>
      </c>
      <c r="L42" s="14" t="n">
        <f>SUM(L6,L7,L8,L9)</f>
        <v>75350</v>
      </c>
      <c r="M42" s="14" t="n">
        <f>SUM(M6,M7,M8,M9)</f>
        <v>83850</v>
      </c>
      <c r="N42" s="14" t="n">
        <f>SUM(B42:M42)</f>
        <v>924700</v>
      </c>
    </row>
    <row r="43">
      <c r="A43" s="13" t="str">
        <v>Summa utgifter</v>
      </c>
      <c r="B43" s="14" t="n">
        <f>SUM(B11,B12,B13,B14,B16,B17,B19,B20,B21,B23,B24,B25,B27,B28,B30,B31,B33,B35,B36,B38,B40,B41)</f>
        <v>53869</v>
      </c>
      <c r="C43" s="14" t="n">
        <f>SUM(C11,C12,C13,C14,C16,C17,C19,C20,C21,C23,C24,C25,C27,C28,C30,C31,C33,C35,C36,C38,C40,C41)</f>
        <v>56249</v>
      </c>
      <c r="D43" s="14" t="n">
        <f>SUM(D11,D12,D13,D14,D16,D17,D19,D20,D21,D23,D24,D25,D27,D28,D30,D31,D33,D35,D36,D38,D40,D41)</f>
        <v>55219</v>
      </c>
      <c r="E43" s="14" t="n">
        <f>SUM(E11,E12,E13,E14,E16,E17,E19,E20,E21,E23,E24,E25,E27,E28,E30,E31,E33,E35,E36,E38,E40,E41)</f>
        <v>59769</v>
      </c>
      <c r="F43" s="14" t="n">
        <f>SUM(F11,F12,F13,F14,F16,F17,F19,F20,F21,F23,F24,F25,F27,F28,F30,F31,F33,F35,F36,F38,F40,F41)</f>
        <v>52619</v>
      </c>
      <c r="G43" s="14" t="n">
        <f>SUM(G11,G12,G13,G14,G16,G17,G19,G20,G21,G23,G24,G25,G27,G28,G30,G31,G33,G35,G36,G38,G40,G41)</f>
        <v>60519</v>
      </c>
      <c r="H43" s="14" t="n">
        <f>SUM(H11,H12,H13,H14,H16,H17,H19,H20,H21,H23,H24,H25,H27,H28,H30,H31,H33,H35,H36,H38,H40,H41)</f>
        <v>94019</v>
      </c>
      <c r="I43" s="14" t="n">
        <f>SUM(I11,I12,I13,I14,I16,I17,I19,I20,I21,I23,I24,I25,I27,I28,I30,I31,I33,I35,I36,I38,I40,I41)</f>
        <v>65029</v>
      </c>
      <c r="J43" s="14" t="n">
        <f>SUM(J11,J12,J13,J14,J16,J17,J19,J20,J21,J23,J24,J25,J27,J28,J30,J31,J33,J35,J36,J38,J40,J41)</f>
        <v>54919</v>
      </c>
      <c r="K43" s="14" t="n">
        <f>SUM(K11,K12,K13,K14,K16,K17,K19,K20,K21,K23,K24,K25,K27,K28,K30,K31,K33,K35,K36,K38,K40,K41)</f>
        <v>57189</v>
      </c>
      <c r="L43" s="14" t="n">
        <f>SUM(L11,L12,L13,L14,L16,L17,L19,L20,L21,L23,L24,L25,L27,L28,L30,L31,L33,L35,L36,L38,L40,L41)</f>
        <v>54569</v>
      </c>
      <c r="M43" s="14" t="n">
        <f>SUM(M11,M12,M13,M14,M16,M17,M19,M20,M21,M23,M24,M25,M27,M28,M30,M31,M33,M35,M36,M38,M40,M41)</f>
        <v>62719</v>
      </c>
      <c r="N43" s="14" t="n">
        <f>SUM(B43:M43)</f>
        <v>726688</v>
      </c>
    </row>
    <row r="44">
      <c r="A44" s="17" t="str">
        <v>Kvar att fördela</v>
      </c>
      <c r="B44" s="18" t="n">
        <f>B42-B43</f>
        <v>21481</v>
      </c>
      <c r="C44" s="18" t="n">
        <f>C42-C43</f>
        <v>19101</v>
      </c>
      <c r="D44" s="18" t="n">
        <f>D42-D43</f>
        <v>20131</v>
      </c>
      <c r="E44" s="18" t="n">
        <f>E42-E43</f>
        <v>15581</v>
      </c>
      <c r="F44" s="18" t="n">
        <f>F42-F43</f>
        <v>22731</v>
      </c>
      <c r="G44" s="18" t="n">
        <f>G42-G43</f>
        <v>26831</v>
      </c>
      <c r="H44" s="18" t="n">
        <f>H42-H43</f>
        <v>-18669</v>
      </c>
      <c r="I44" s="18" t="n">
        <f>I42-I43</f>
        <v>10321</v>
      </c>
      <c r="J44" s="18" t="n">
        <f>J42-J43</f>
        <v>20431</v>
      </c>
      <c r="K44" s="18" t="n">
        <f>K42-K43</f>
        <v>18161</v>
      </c>
      <c r="L44" s="18" t="n">
        <f>L42-L43</f>
        <v>20781</v>
      </c>
      <c r="M44" s="18" t="n">
        <f>M42-M43</f>
        <v>21131</v>
      </c>
      <c r="N44" s="18" t="n">
        <f>SUM(B44:M44)</f>
        <v>198012</v>
      </c>
    </row>
  </sheetData>
  <pageMargins left="0.7" right="0.7" top="0.75" bottom="0.75" header="0.3" footer="0.3"/>
</worksheet>
</file>