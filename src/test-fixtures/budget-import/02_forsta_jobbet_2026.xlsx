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6893e63994b5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Årsbudget 2026" sheetId="1" r:id="R50fd26273bd2407e"/>
  </sheets>
</workbook>
</file>

<file path=xl/sharedStrings.xml><?xml version="1.0" encoding="utf-8"?>
<sst xmlns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–"/>
  </x:numFmts>
  <x:fonts count="7">
    <x:font>
      <x:sz val="11"/>
      <x:name val="Carlito"/>
    </x:font>
    <x:font>
      <x:sz val="10"/>
      <x:color rgb="FF1F2937"/>
      <x:name val="Arial"/>
    </x:font>
    <x:font>
      <x:b/>
      <x:sz val="14"/>
      <x:color rgb="FF111827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0"/>
      <x:color rgb="FF1118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DBEAFE"/>
      </x:patternFill>
    </x:fill>
    <x:fill>
      <x:patternFill patternType="solid">
        <x:fgColor rgb="FFBFDBF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94A3B8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horizontal="right"/>
    </x:xf>
    <x:xf numFmtId="0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horizontal="right"/>
    </x:xf>
    <x:xf numFmtId="0" fontId="6" fillId="4" borderId="0" xfId="0" applyNumberFormat="1" applyFont="1" applyFill="1" applyBorder="1"/>
    <x:xf numFmtId="200" fontId="6" fillId="4" borderId="0" xfId="0" applyNumberFormat="1" applyFont="1" applyFill="1" applyBorder="1" applyAlignment="1">
      <x:alignment horizontal="right"/>
    </x:xf>
    <x:xf numFmtId="0" fontId="6" fillId="4" borderId="1" xfId="0" applyNumberFormat="1" applyFont="1" applyFill="1" applyBorder="1"/>
    <x:xf numFmtId="200" fontId="6" fillId="4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b0a2f441a4ca0" /><Relationship Type="http://schemas.openxmlformats.org/officeDocument/2006/relationships/theme" Target="/xl/theme/theme1.xml" Id="R7b8dab9f851945da" /><Relationship Type="http://schemas.openxmlformats.org/officeDocument/2006/relationships/sharedStrings" Target="/xl/sharedStrings.xml" Id="Ra7e5da9b6546436d" /><Relationship Type="http://schemas.openxmlformats.org/officeDocument/2006/relationships/worksheet" Target="/xl/worksheets/sheet1.xml" Id="R50fd26273bd240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D4ED8"/>
  </sheetPr>
  <sheetViews>
    <sheetView showGridLines="0" workbookViewId="0">
      <pane xSplit="1" ySplit="4" topLeftCell="B5" activePane="bottomRight" state="frozen"/>
    </sheetView>
  </sheetViews>
  <sheetFormatPr defaultRowHeight="15"/>
  <cols>
    <col min="1" max="1" width="29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6" hidden="0" customWidth="1"/>
  </cols>
  <sheetData>
    <row r="1">
      <c r="A1" s="2" t="str">
        <v>Första jobbet – balanserad budget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tr">
        <v>Syntetisk testbudget · SEK · 2026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5" t="str">
        <v>Post</v>
      </c>
      <c r="B4" s="6" t="str">
        <v>Januari 2026</v>
      </c>
      <c r="C4" s="6" t="str">
        <v>Februari 2026</v>
      </c>
      <c r="D4" s="6" t="str">
        <v>Mars 2026</v>
      </c>
      <c r="E4" s="6" t="str">
        <v>April 2026</v>
      </c>
      <c r="F4" s="6" t="str">
        <v>Maj 2026</v>
      </c>
      <c r="G4" s="6" t="str">
        <v>Juni 2026</v>
      </c>
      <c r="H4" s="6" t="str">
        <v>Juli 2026</v>
      </c>
      <c r="I4" s="6" t="str">
        <v>Augusti 2026</v>
      </c>
      <c r="J4" s="6" t="str">
        <v>September 2026</v>
      </c>
      <c r="K4" s="6" t="str">
        <v>Oktober 2026</v>
      </c>
      <c r="L4" s="6" t="str">
        <v>November 2026</v>
      </c>
      <c r="M4" s="6" t="str">
        <v>December 2026</v>
      </c>
      <c r="N4" s="6" t="str">
        <v>Helår</v>
      </c>
    </row>
    <row r="5">
      <c r="A5" s="11" t="str">
        <v>Inkomster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>
      <c r="A6" s="1" t="str">
        <v>Lön</v>
      </c>
      <c r="B6" s="8" t="n">
        <v>29200</v>
      </c>
      <c r="C6" s="8" t="n">
        <v>29200</v>
      </c>
      <c r="D6" s="8" t="n">
        <v>29200</v>
      </c>
      <c r="E6" s="8" t="n">
        <v>29200</v>
      </c>
      <c r="F6" s="8" t="n">
        <v>29200</v>
      </c>
      <c r="G6" s="8" t="n">
        <v>29200</v>
      </c>
      <c r="H6" s="8" t="n">
        <v>31100</v>
      </c>
      <c r="I6" s="8" t="n">
        <v>31100</v>
      </c>
      <c r="J6" s="8" t="n">
        <v>31100</v>
      </c>
      <c r="K6" s="8" t="n">
        <v>31100</v>
      </c>
      <c r="L6" s="8" t="n">
        <v>31100</v>
      </c>
      <c r="M6" s="8" t="n">
        <v>31100</v>
      </c>
      <c r="N6" s="8" t="n">
        <f>SUM(B6:M6)</f>
        <v>361800</v>
      </c>
    </row>
    <row r="7">
      <c r="A7" s="1" t="str">
        <v>Årsbonus</v>
      </c>
      <c r="B7" s="8" t="str"/>
      <c r="C7" s="8" t="str"/>
      <c r="D7" s="8" t="str"/>
      <c r="E7" s="8" t="str"/>
      <c r="F7" s="8" t="str"/>
      <c r="G7" s="8" t="str"/>
      <c r="H7" s="8" t="str"/>
      <c r="I7" s="8" t="str"/>
      <c r="J7" s="8" t="str"/>
      <c r="K7" s="8" t="str"/>
      <c r="L7" s="8" t="str"/>
      <c r="M7" s="8" t="n">
        <v>6500</v>
      </c>
      <c r="N7" s="8" t="n">
        <f>SUM(B7:M7)</f>
        <v>6500</v>
      </c>
    </row>
    <row r="8">
      <c r="A8" s="11" t="str">
        <v>Boende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>
      <c r="A9" s="1" t="str">
        <v>Hyra</v>
      </c>
      <c r="B9" s="8" t="n">
        <v>10100</v>
      </c>
      <c r="C9" s="8" t="n">
        <v>10100</v>
      </c>
      <c r="D9" s="8" t="n">
        <v>10100</v>
      </c>
      <c r="E9" s="8" t="n">
        <v>10100</v>
      </c>
      <c r="F9" s="8" t="n">
        <v>10100</v>
      </c>
      <c r="G9" s="8" t="n">
        <v>10100</v>
      </c>
      <c r="H9" s="8" t="n">
        <v>10100</v>
      </c>
      <c r="I9" s="8" t="n">
        <v>10100</v>
      </c>
      <c r="J9" s="8" t="n">
        <v>10100</v>
      </c>
      <c r="K9" s="8" t="n">
        <v>10100</v>
      </c>
      <c r="L9" s="8" t="n">
        <v>10100</v>
      </c>
      <c r="M9" s="8" t="n">
        <v>10100</v>
      </c>
      <c r="N9" s="8" t="n">
        <f>SUM(B9:M9)</f>
        <v>121200</v>
      </c>
    </row>
    <row r="10">
      <c r="A10" s="1" t="str">
        <v>Elräkning</v>
      </c>
      <c r="B10" s="8" t="n">
        <v>750</v>
      </c>
      <c r="C10" s="8" t="n">
        <v>730</v>
      </c>
      <c r="D10" s="8" t="n">
        <v>640</v>
      </c>
      <c r="E10" s="8" t="n">
        <v>540</v>
      </c>
      <c r="F10" s="8" t="n">
        <v>460</v>
      </c>
      <c r="G10" s="8" t="n">
        <v>420</v>
      </c>
      <c r="H10" s="8" t="n">
        <v>380</v>
      </c>
      <c r="I10" s="8" t="n">
        <v>420</v>
      </c>
      <c r="J10" s="8" t="n">
        <v>490</v>
      </c>
      <c r="K10" s="8" t="n">
        <v>580</v>
      </c>
      <c r="L10" s="8" t="n">
        <v>660</v>
      </c>
      <c r="M10" s="8" t="n">
        <v>770</v>
      </c>
      <c r="N10" s="8" t="n">
        <f>SUM(B10:M10)</f>
        <v>6840</v>
      </c>
    </row>
    <row r="11">
      <c r="A11" s="1" t="str">
        <v>Hemförsäkring</v>
      </c>
      <c r="B11" s="8" t="n">
        <v>185</v>
      </c>
      <c r="C11" s="8" t="n">
        <v>185</v>
      </c>
      <c r="D11" s="8" t="n">
        <v>185</v>
      </c>
      <c r="E11" s="8" t="n">
        <v>185</v>
      </c>
      <c r="F11" s="8" t="n">
        <v>185</v>
      </c>
      <c r="G11" s="8" t="n">
        <v>185</v>
      </c>
      <c r="H11" s="8" t="n">
        <v>185</v>
      </c>
      <c r="I11" s="8" t="n">
        <v>185</v>
      </c>
      <c r="J11" s="8" t="n">
        <v>185</v>
      </c>
      <c r="K11" s="8" t="n">
        <v>185</v>
      </c>
      <c r="L11" s="8" t="n">
        <v>185</v>
      </c>
      <c r="M11" s="8" t="n">
        <v>185</v>
      </c>
      <c r="N11" s="8" t="n">
        <f>SUM(B11:M11)</f>
        <v>2220</v>
      </c>
    </row>
    <row r="12">
      <c r="A12" s="11" t="str">
        <v>Mat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>
      <c r="A13" s="1" t="str">
        <v>Matvaror</v>
      </c>
      <c r="B13" s="8" t="n">
        <v>3700</v>
      </c>
      <c r="C13" s="8" t="n">
        <v>3500</v>
      </c>
      <c r="D13" s="8" t="n">
        <v>3600</v>
      </c>
      <c r="E13" s="8" t="n">
        <v>3750</v>
      </c>
      <c r="F13" s="8" t="n">
        <v>3600</v>
      </c>
      <c r="G13" s="8" t="n">
        <v>3800</v>
      </c>
      <c r="H13" s="8" t="n">
        <v>3900</v>
      </c>
      <c r="I13" s="8" t="n">
        <v>3850</v>
      </c>
      <c r="J13" s="8" t="n">
        <v>3600</v>
      </c>
      <c r="K13" s="8" t="n">
        <v>3680</v>
      </c>
      <c r="L13" s="8" t="n">
        <v>3800</v>
      </c>
      <c r="M13" s="8" t="n">
        <v>4100</v>
      </c>
      <c r="N13" s="8" t="n">
        <f>SUM(B13:M13)</f>
        <v>44880</v>
      </c>
    </row>
    <row r="14">
      <c r="A14" s="1" t="str">
        <v>Luncher</v>
      </c>
      <c r="B14" s="8" t="n">
        <v>1250</v>
      </c>
      <c r="C14" s="8" t="n">
        <v>1250</v>
      </c>
      <c r="D14" s="8" t="n">
        <v>1250</v>
      </c>
      <c r="E14" s="8" t="n">
        <v>1250</v>
      </c>
      <c r="F14" s="8" t="n">
        <v>1250</v>
      </c>
      <c r="G14" s="8" t="n">
        <v>1250</v>
      </c>
      <c r="H14" s="8" t="n">
        <v>1250</v>
      </c>
      <c r="I14" s="8" t="n">
        <v>1250</v>
      </c>
      <c r="J14" s="8" t="n">
        <v>1250</v>
      </c>
      <c r="K14" s="8" t="n">
        <v>1250</v>
      </c>
      <c r="L14" s="8" t="n">
        <v>1250</v>
      </c>
      <c r="M14" s="8" t="n">
        <v>1250</v>
      </c>
      <c r="N14" s="8" t="n">
        <f>SUM(B14:M14)</f>
        <v>15000</v>
      </c>
    </row>
    <row r="15">
      <c r="A15" s="11" t="str">
        <v>Transport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>
      <c r="A16" s="1" t="str">
        <v>SL-kort</v>
      </c>
      <c r="B16" s="8" t="n">
        <v>1060</v>
      </c>
      <c r="C16" s="8" t="n">
        <v>1060</v>
      </c>
      <c r="D16" s="8" t="n">
        <v>1060</v>
      </c>
      <c r="E16" s="8" t="n">
        <v>1060</v>
      </c>
      <c r="F16" s="8" t="n">
        <v>1060</v>
      </c>
      <c r="G16" s="8" t="n">
        <v>1060</v>
      </c>
      <c r="H16" s="8" t="n">
        <v>1060</v>
      </c>
      <c r="I16" s="8" t="n">
        <v>1060</v>
      </c>
      <c r="J16" s="8" t="n">
        <v>1060</v>
      </c>
      <c r="K16" s="8" t="n">
        <v>1060</v>
      </c>
      <c r="L16" s="8" t="n">
        <v>1060</v>
      </c>
      <c r="M16" s="8" t="n">
        <v>1060</v>
      </c>
      <c r="N16" s="8" t="n">
        <f>SUM(B16:M16)</f>
        <v>12720</v>
      </c>
    </row>
    <row r="17">
      <c r="A17" s="1" t="str">
        <v>Taxi</v>
      </c>
      <c r="B17" s="8" t="n">
        <v>150</v>
      </c>
      <c r="C17" s="8" t="str"/>
      <c r="D17" s="8" t="n">
        <v>320</v>
      </c>
      <c r="E17" s="8" t="str"/>
      <c r="F17" s="8" t="str"/>
      <c r="G17" s="8" t="n">
        <v>250</v>
      </c>
      <c r="H17" s="8" t="str"/>
      <c r="I17" s="8" t="str"/>
      <c r="J17" s="8" t="n">
        <v>180</v>
      </c>
      <c r="K17" s="8" t="str"/>
      <c r="L17" s="8" t="str"/>
      <c r="M17" s="8" t="n">
        <v>450</v>
      </c>
      <c r="N17" s="8" t="n">
        <f>SUM(B17:M17)</f>
        <v>1350</v>
      </c>
    </row>
    <row r="18">
      <c r="A18" s="11" t="str">
        <v>Prenumerationer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>
      <c r="A19" s="1" t="str">
        <v>Internet</v>
      </c>
      <c r="B19" s="8" t="n">
        <v>399</v>
      </c>
      <c r="C19" s="8" t="n">
        <v>399</v>
      </c>
      <c r="D19" s="8" t="n">
        <v>399</v>
      </c>
      <c r="E19" s="8" t="n">
        <v>399</v>
      </c>
      <c r="F19" s="8" t="n">
        <v>399</v>
      </c>
      <c r="G19" s="8" t="n">
        <v>399</v>
      </c>
      <c r="H19" s="8" t="n">
        <v>399</v>
      </c>
      <c r="I19" s="8" t="n">
        <v>399</v>
      </c>
      <c r="J19" s="8" t="n">
        <v>399</v>
      </c>
      <c r="K19" s="8" t="n">
        <v>399</v>
      </c>
      <c r="L19" s="8" t="n">
        <v>399</v>
      </c>
      <c r="M19" s="8" t="n">
        <v>399</v>
      </c>
      <c r="N19" s="8" t="n">
        <f>SUM(B19:M19)</f>
        <v>4788</v>
      </c>
    </row>
    <row r="20">
      <c r="A20" s="1" t="str">
        <v>Streaming</v>
      </c>
      <c r="B20" s="8" t="n">
        <v>179</v>
      </c>
      <c r="C20" s="8" t="n">
        <v>179</v>
      </c>
      <c r="D20" s="8" t="n">
        <v>179</v>
      </c>
      <c r="E20" s="8" t="n">
        <v>179</v>
      </c>
      <c r="F20" s="8" t="n">
        <v>179</v>
      </c>
      <c r="G20" s="8" t="n">
        <v>179</v>
      </c>
      <c r="H20" s="8" t="n">
        <v>179</v>
      </c>
      <c r="I20" s="8" t="n">
        <v>179</v>
      </c>
      <c r="J20" s="8" t="n">
        <v>179</v>
      </c>
      <c r="K20" s="8" t="n">
        <v>179</v>
      </c>
      <c r="L20" s="8" t="n">
        <v>179</v>
      </c>
      <c r="M20" s="8" t="n">
        <v>179</v>
      </c>
      <c r="N20" s="8" t="n">
        <f>SUM(B20:M20)</f>
        <v>2148</v>
      </c>
    </row>
    <row r="21">
      <c r="A21" s="1" t="str">
        <v>Mobil</v>
      </c>
      <c r="B21" s="8" t="n">
        <v>299</v>
      </c>
      <c r="C21" s="8" t="n">
        <v>299</v>
      </c>
      <c r="D21" s="8" t="n">
        <v>299</v>
      </c>
      <c r="E21" s="8" t="n">
        <v>299</v>
      </c>
      <c r="F21" s="8" t="n">
        <v>299</v>
      </c>
      <c r="G21" s="8" t="n">
        <v>299</v>
      </c>
      <c r="H21" s="8" t="n">
        <v>299</v>
      </c>
      <c r="I21" s="8" t="n">
        <v>299</v>
      </c>
      <c r="J21" s="8" t="n">
        <v>299</v>
      </c>
      <c r="K21" s="8" t="n">
        <v>299</v>
      </c>
      <c r="L21" s="8" t="n">
        <v>299</v>
      </c>
      <c r="M21" s="8" t="n">
        <v>299</v>
      </c>
      <c r="N21" s="8" t="n">
        <f>SUM(B21:M21)</f>
        <v>3588</v>
      </c>
    </row>
    <row r="22">
      <c r="A22" s="11" t="str">
        <v>Personligt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>
      <c r="A23" s="1" t="str">
        <v>Gym</v>
      </c>
      <c r="B23" s="8" t="n">
        <v>449</v>
      </c>
      <c r="C23" s="8" t="n">
        <v>449</v>
      </c>
      <c r="D23" s="8" t="n">
        <v>449</v>
      </c>
      <c r="E23" s="8" t="n">
        <v>449</v>
      </c>
      <c r="F23" s="8" t="n">
        <v>449</v>
      </c>
      <c r="G23" s="8" t="n">
        <v>449</v>
      </c>
      <c r="H23" s="8" t="n">
        <v>449</v>
      </c>
      <c r="I23" s="8" t="n">
        <v>449</v>
      </c>
      <c r="J23" s="8" t="n">
        <v>449</v>
      </c>
      <c r="K23" s="8" t="n">
        <v>449</v>
      </c>
      <c r="L23" s="8" t="n">
        <v>449</v>
      </c>
      <c r="M23" s="8" t="n">
        <v>449</v>
      </c>
      <c r="N23" s="8" t="n">
        <f>SUM(B23:M23)</f>
        <v>5388</v>
      </c>
    </row>
    <row r="24">
      <c r="A24" s="1" t="str">
        <v>Kläder</v>
      </c>
      <c r="B24" s="8" t="n">
        <v>550</v>
      </c>
      <c r="C24" s="8" t="n">
        <v>550</v>
      </c>
      <c r="D24" s="8" t="n">
        <v>650</v>
      </c>
      <c r="E24" s="8" t="n">
        <v>750</v>
      </c>
      <c r="F24" s="8" t="n">
        <v>550</v>
      </c>
      <c r="G24" s="8" t="n">
        <v>450</v>
      </c>
      <c r="H24" s="8" t="n">
        <v>550</v>
      </c>
      <c r="I24" s="8" t="n">
        <v>850</v>
      </c>
      <c r="J24" s="8" t="n">
        <v>650</v>
      </c>
      <c r="K24" s="8" t="n">
        <v>550</v>
      </c>
      <c r="L24" s="8" t="n">
        <v>950</v>
      </c>
      <c r="M24" s="8" t="n">
        <v>750</v>
      </c>
      <c r="N24" s="8" t="n">
        <f>SUM(B24:M24)</f>
        <v>7800</v>
      </c>
    </row>
    <row r="25">
      <c r="A25" s="11" t="str">
        <v>Sparande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>
      <c r="A26" s="1" t="str">
        <v>Buffert</v>
      </c>
      <c r="B26" s="8" t="n">
        <v>1700</v>
      </c>
      <c r="C26" s="8" t="n">
        <v>1700</v>
      </c>
      <c r="D26" s="8" t="n">
        <v>1700</v>
      </c>
      <c r="E26" s="8" t="n">
        <v>1700</v>
      </c>
      <c r="F26" s="8" t="n">
        <v>1700</v>
      </c>
      <c r="G26" s="8" t="n">
        <v>1700</v>
      </c>
      <c r="H26" s="8" t="n">
        <v>1700</v>
      </c>
      <c r="I26" s="8" t="n">
        <v>1700</v>
      </c>
      <c r="J26" s="8" t="n">
        <v>1700</v>
      </c>
      <c r="K26" s="8" t="n">
        <v>1700</v>
      </c>
      <c r="L26" s="8" t="n">
        <v>1700</v>
      </c>
      <c r="M26" s="8" t="n">
        <v>1700</v>
      </c>
      <c r="N26" s="8" t="n">
        <f>SUM(B26:M26)</f>
        <v>20400</v>
      </c>
    </row>
    <row r="27">
      <c r="A27" s="1" t="str">
        <v>ISK fonder</v>
      </c>
      <c r="B27" s="8" t="n">
        <v>1500</v>
      </c>
      <c r="C27" s="8" t="n">
        <v>1500</v>
      </c>
      <c r="D27" s="8" t="n">
        <v>1500</v>
      </c>
      <c r="E27" s="8" t="n">
        <v>1500</v>
      </c>
      <c r="F27" s="8" t="n">
        <v>1500</v>
      </c>
      <c r="G27" s="8" t="n">
        <v>1500</v>
      </c>
      <c r="H27" s="8" t="n">
        <v>1500</v>
      </c>
      <c r="I27" s="8" t="n">
        <v>1500</v>
      </c>
      <c r="J27" s="8" t="n">
        <v>1500</v>
      </c>
      <c r="K27" s="8" t="n">
        <v>1500</v>
      </c>
      <c r="L27" s="8" t="n">
        <v>1500</v>
      </c>
      <c r="M27" s="8" t="n">
        <v>1500</v>
      </c>
      <c r="N27" s="8" t="n">
        <f>SUM(B27:M27)</f>
        <v>18000</v>
      </c>
    </row>
    <row r="28">
      <c r="A28" s="13" t="str">
        <v>Totala inkomster</v>
      </c>
      <c r="B28" s="14" t="n">
        <f>SUM(B6,B7)</f>
        <v>29200</v>
      </c>
      <c r="C28" s="14" t="n">
        <f>SUM(C6,C7)</f>
        <v>29200</v>
      </c>
      <c r="D28" s="14" t="n">
        <f>SUM(D6,D7)</f>
        <v>29200</v>
      </c>
      <c r="E28" s="14" t="n">
        <f>SUM(E6,E7)</f>
        <v>29200</v>
      </c>
      <c r="F28" s="14" t="n">
        <f>SUM(F6,F7)</f>
        <v>29200</v>
      </c>
      <c r="G28" s="14" t="n">
        <f>SUM(G6,G7)</f>
        <v>29200</v>
      </c>
      <c r="H28" s="14" t="n">
        <f>SUM(H6,H7)</f>
        <v>31100</v>
      </c>
      <c r="I28" s="14" t="n">
        <f>SUM(I6,I7)</f>
        <v>31100</v>
      </c>
      <c r="J28" s="14" t="n">
        <f>SUM(J6,J7)</f>
        <v>31100</v>
      </c>
      <c r="K28" s="14" t="n">
        <f>SUM(K6,K7)</f>
        <v>31100</v>
      </c>
      <c r="L28" s="14" t="n">
        <f>SUM(L6,L7)</f>
        <v>31100</v>
      </c>
      <c r="M28" s="14" t="n">
        <f>SUM(M6,M7)</f>
        <v>37600</v>
      </c>
      <c r="N28" s="14" t="n">
        <f>SUM(B28:M28)</f>
        <v>368300</v>
      </c>
    </row>
    <row r="29">
      <c r="A29" s="13" t="str">
        <v>Summa utgifter</v>
      </c>
      <c r="B29" s="14" t="n">
        <f>SUM(B9,B10,B11,B13,B14,B16,B17,B19,B20,B21,B23,B24,B26,B27)</f>
        <v>22271</v>
      </c>
      <c r="C29" s="14" t="n">
        <f>SUM(C9,C10,C11,C13,C14,C16,C17,C19,C20,C21,C23,C24,C26,C27)</f>
        <v>21901</v>
      </c>
      <c r="D29" s="14" t="n">
        <f>SUM(D9,D10,D11,D13,D14,D16,D17,D19,D20,D21,D23,D24,D26,D27)</f>
        <v>22331</v>
      </c>
      <c r="E29" s="14" t="n">
        <f>SUM(E9,E10,E11,E13,E14,E16,E17,E19,E20,E21,E23,E24,E26,E27)</f>
        <v>22161</v>
      </c>
      <c r="F29" s="14" t="n">
        <f>SUM(F9,F10,F11,F13,F14,F16,F17,F19,F20,F21,F23,F24,F26,F27)</f>
        <v>21731</v>
      </c>
      <c r="G29" s="14" t="n">
        <f>SUM(G9,G10,G11,G13,G14,G16,G17,G19,G20,G21,G23,G24,G26,G27)</f>
        <v>22041</v>
      </c>
      <c r="H29" s="14" t="n">
        <f>SUM(H9,H10,H11,H13,H14,H16,H17,H19,H20,H21,H23,H24,H26,H27)</f>
        <v>21951</v>
      </c>
      <c r="I29" s="14" t="n">
        <f>SUM(I9,I10,I11,I13,I14,I16,I17,I19,I20,I21,I23,I24,I26,I27)</f>
        <v>22241</v>
      </c>
      <c r="J29" s="14" t="n">
        <f>SUM(J9,J10,J11,J13,J14,J16,J17,J19,J20,J21,J23,J24,J26,J27)</f>
        <v>22041</v>
      </c>
      <c r="K29" s="14" t="n">
        <f>SUM(K9,K10,K11,K13,K14,K16,K17,K19,K20,K21,K23,K24,K26,K27)</f>
        <v>21931</v>
      </c>
      <c r="L29" s="14" t="n">
        <f>SUM(L9,L10,L11,L13,L14,L16,L17,L19,L20,L21,L23,L24,L26,L27)</f>
        <v>22531</v>
      </c>
      <c r="M29" s="14" t="n">
        <f>SUM(M9,M10,M11,M13,M14,M16,M17,M19,M20,M21,M23,M24,M26,M27)</f>
        <v>23191</v>
      </c>
      <c r="N29" s="14" t="n">
        <f>SUM(B29:M29)</f>
        <v>266322</v>
      </c>
    </row>
    <row r="30">
      <c r="A30" s="17" t="str">
        <v>Kvar att fördela</v>
      </c>
      <c r="B30" s="18" t="n">
        <f>B28-B29</f>
        <v>6929</v>
      </c>
      <c r="C30" s="18" t="n">
        <f>C28-C29</f>
        <v>7299</v>
      </c>
      <c r="D30" s="18" t="n">
        <f>D28-D29</f>
        <v>6869</v>
      </c>
      <c r="E30" s="18" t="n">
        <f>E28-E29</f>
        <v>7039</v>
      </c>
      <c r="F30" s="18" t="n">
        <f>F28-F29</f>
        <v>7469</v>
      </c>
      <c r="G30" s="18" t="n">
        <f>G28-G29</f>
        <v>7159</v>
      </c>
      <c r="H30" s="18" t="n">
        <f>H28-H29</f>
        <v>9149</v>
      </c>
      <c r="I30" s="18" t="n">
        <f>I28-I29</f>
        <v>8859</v>
      </c>
      <c r="J30" s="18" t="n">
        <f>J28-J29</f>
        <v>9059</v>
      </c>
      <c r="K30" s="18" t="n">
        <f>K28-K29</f>
        <v>9169</v>
      </c>
      <c r="L30" s="18" t="n">
        <f>L28-L29</f>
        <v>8569</v>
      </c>
      <c r="M30" s="18" t="n">
        <f>M28-M29</f>
        <v>14409</v>
      </c>
      <c r="N30" s="18" t="n">
        <f>SUM(B30:M30)</f>
        <v>101978</v>
      </c>
    </row>
  </sheetData>
  <pageMargins left="0.7" right="0.7" top="0.75" bottom="0.75" header="0.3" footer="0.3"/>
</worksheet>
</file>